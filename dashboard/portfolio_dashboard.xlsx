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\SKILLS\Data Analitycs\PERSONAL PROJECTS\dashboard\"/>
    </mc:Choice>
  </mc:AlternateContent>
  <xr:revisionPtr revIDLastSave="0" documentId="13_ncr:1_{A8A8C549-E215-4762-B19D-CEA2D018F0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Dashboard" sheetId="1" r:id="rId1"/>
    <sheet name="Monthly Prices" sheetId="2" r:id="rId2"/>
    <sheet name="Risk Metric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<sst xmlns="http://schemas.openxmlformats.org/spreadsheetml/2006/main" count="111" uniqueCount="99">
  <si>
    <t>Financial Portfolio Analysis</t>
  </si>
  <si>
    <t>Risk and Return Analysis | 2021 to 2025</t>
  </si>
  <si>
    <t>Asset</t>
  </si>
  <si>
    <t>Annual Return</t>
  </si>
  <si>
    <t>Volatility</t>
  </si>
  <si>
    <t>Sharpe Ratio</t>
  </si>
  <si>
    <t>Max Drawdown</t>
  </si>
  <si>
    <t>Rank</t>
  </si>
  <si>
    <t>SP500</t>
  </si>
  <si>
    <t>17.0%</t>
  </si>
  <si>
    <t>15.6%</t>
  </si>
  <si>
    <t>0.83</t>
  </si>
  <si>
    <t>-21.0%</t>
  </si>
  <si>
    <t>BCA</t>
  </si>
  <si>
    <t>15.4%</t>
  </si>
  <si>
    <t>17.1%</t>
  </si>
  <si>
    <t>0.66</t>
  </si>
  <si>
    <t>-24.5%</t>
  </si>
  <si>
    <t>Bitcoin</t>
  </si>
  <si>
    <t>37.7%</t>
  </si>
  <si>
    <t>58.7%</t>
  </si>
  <si>
    <t>0.57</t>
  </si>
  <si>
    <t>-76.6%</t>
  </si>
  <si>
    <t>Gold</t>
  </si>
  <si>
    <t>8.4%</t>
  </si>
  <si>
    <t>22.6%</t>
  </si>
  <si>
    <t>0.20</t>
  </si>
  <si>
    <t>-31.4%</t>
  </si>
  <si>
    <t>Telkom</t>
  </si>
  <si>
    <t>9.2%</t>
  </si>
  <si>
    <t>28.3%</t>
  </si>
  <si>
    <t>0.18</t>
  </si>
  <si>
    <t>-46.7%</t>
  </si>
  <si>
    <t>Monthly Average Prices by Asset</t>
  </si>
  <si>
    <t>month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</si>
  <si>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</si>
  <si>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</si>
  <si>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</si>
  <si>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</si>
  <si>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</si>
  <si>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</si>
  <si>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</si>
  <si>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</si>
  <si>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</si>
  <si>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</si>
  <si>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</si>
  <si>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</si>
  <si>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</si>
  <si>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</si>
  <si>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</si>
  <si>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</si>
  <si>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</si>
  <si>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</si>
  <si>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</si>
  <si>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</si>
  <si>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</si>
  <si>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</si>
  <si>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</si>
  <si>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</si>
  <si>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</si>
  <si>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</si>
  <si>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</si>
  <si>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</si>
  <si>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</si>
  <si>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</si>
  <si>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</si>
  <si>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</si>
  <si>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</si>
  <si>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</si>
  <si>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</si>
  <si>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</si>
  <si>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</si>
  <si>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</si>
  <si>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</si>
  <si>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</si>
  <si>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</si>
  <si>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</si>
  <si>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</si>
  <si>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</si>
  <si>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</si>
  <si>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</si>
  <si>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</si>
  <si>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</si>
  <si>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</si>
  <si>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</si>
  <si>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</si>
  <si>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</si>
  <si>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</si>
  <si>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</si>
  <si>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</si>
  <si>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</si>
  <si>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</si>
  <si>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</si>
  <si>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</si>
  <si>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</si>
  <si>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Risk and Return Metrics</t>
  </si>
  <si>
    <t>index</t>
  </si>
  <si>
    <t>Annualized Return</t>
  </si>
  <si>
    <t>Annualized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</si>
</sst>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1F3864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0" fillId="0" borderId="0" xfId="0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Sharpe</a:t>
            </a:r>
            <a:r>
              <a:rPr lang="en-US" baseline="0"/>
              <a:t> Ratio by Asset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'Risk Metrics'!$D$1:$D$2</c:f>
              <c:strCache>
                <c:ptCount val="2"/>
                <c:pt idx="0">
                  <c:v>Risk and Return Metrics</c:v>
                </c:pt>
                <c:pt idx="1">
                  <c:v>Sharpe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Metrics'!$A$3:$A$7</c:f>
              <c:strCache>
                <c:ptCount val="5"/>
                <c:pt idx="0">
                  <c:v>Gold</c:v>
                </c:pt>
                <c:pt idx="1">
                  <c:v>SP500</c:v>
                </c:pt>
                <c:pt idx="2">
                  <c:v>BCA</c:v>
                </c:pt>
                <c:pt idx="3">
                  <c:v>Telkom</c:v>
                </c:pt>
                <c:pt idx="4">
                  <c:v>Bitcoin</c:v>
                </c:pt>
              </c:strCache>
            </c:strRef>
          </c:cat>
          <c:val>
            <c:numRef>
              <c:f>'Risk Metrics'!$D$3:$D$7</c:f>
              <c:numCache>
                <c:formatCode>General</c:formatCode>
                <c:ptCount val="5"/>
                <c:pt idx="0">
                  <c:v>0.1958</c:v>
                </c:pt>
                <c:pt idx="1">
                  <c:v>0.83040000000000003</c:v>
                </c:pt>
                <c:pt idx="2">
                  <c:v>0.66379999999999995</c:v>
                </c:pt>
                <c:pt idx="3">
                  <c:v>0.183</c:v>
                </c:pt>
                <c:pt idx="4">
                  <c:v>0.57420000000000004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3-4763-A5CA-C28AFE580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3518256"/>
        <c:axId val="383515760"/>
      </c:barChart>
      <c:catAx>
        <c:axId val="38351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15760"/>
        <c:crosses val="autoZero"/>
        <c:auto val="1"/>
        <c:lblAlgn val="ctr"/>
        <c:lblOffset val="100"/>
        <c:noMultiLvlLbl val="0"/>
      </c:catAx>
      <c:valAx>
        <c:axId val="38351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Max Drawdown by Asset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'Risk Metrics'!$B$1:$B$2</c:f>
              <c:strCache>
                <c:ptCount val="2"/>
                <c:pt idx="1">
                  <c:v>Annualized Return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Metrics'!$A$3:$A$7</c:f>
              <c:strCache>
                <c:ptCount val="5"/>
                <c:pt idx="0">
                  <c:v>Gold</c:v>
                </c:pt>
                <c:pt idx="1">
                  <c:v>SP500</c:v>
                </c:pt>
                <c:pt idx="2">
                  <c:v>BCA</c:v>
                </c:pt>
                <c:pt idx="3">
                  <c:v>Telkom</c:v>
                </c:pt>
                <c:pt idx="4">
                  <c:v>Bitcoin</c:v>
                </c:pt>
              </c:strCache>
            </c:strRef>
          </c:cat>
          <c:val>
            <c:numRef>
              <c:f>'Risk Metrics'!$B$3:$B$7</c:f>
              <c:numCache>
                <c:formatCode>General</c:formatCode>
                <c:ptCount val="5"/>
                <c:pt idx="0">
                  <c:v>8.43E-2</c:v>
                </c:pt>
                <c:pt idx="1">
                  <c:v>0.16969999999999999</c:v>
                </c:pt>
                <c:pt idx="2">
                  <c:v>0.15359999999999999</c:v>
                </c:pt>
                <c:pt idx="3">
                  <c:v>9.1800000000000007E-2</c:v>
                </c:pt>
                <c:pt idx="4">
                  <c:v>0.37730000000000002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F-4A5E-9A25-9B4CD093EC03}"/>
            </c:ext>
          </c:extLst>
        </c:ser>
        <c:ser>
          <c:idx val="1"/>
          <c:order val="1"/>
          <c:tx>
            <c:strRef>
              <c:f>'Risk Metrics'!$E$1:$E$2</c:f>
              <c:strCache>
                <c:ptCount val="2"/>
                <c:pt idx="1">
                  <c:v>Max Drawdown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Metrics'!$A$3:$A$7</c:f>
              <c:strCache>
                <c:ptCount val="5"/>
                <c:pt idx="0">
                  <c:v>Gold</c:v>
                </c:pt>
                <c:pt idx="1">
                  <c:v>SP500</c:v>
                </c:pt>
                <c:pt idx="2">
                  <c:v>BCA</c:v>
                </c:pt>
                <c:pt idx="3">
                  <c:v>Telkom</c:v>
                </c:pt>
                <c:pt idx="4">
                  <c:v>Bitcoin</c:v>
                </c:pt>
              </c:strCache>
            </c:strRef>
          </c:cat>
          <c:val>
            <c:numRef>
              <c:f>'Risk Metrics'!$E$3:$E$7</c:f>
              <c:numCache>
                <c:formatCode>General</c:formatCode>
                <c:ptCount val="5"/>
                <c:pt idx="0">
                  <c:v>-0.31409999999999999</c:v>
                </c:pt>
                <c:pt idx="1">
                  <c:v>-0.21029999999999999</c:v>
                </c:pt>
                <c:pt idx="2">
                  <c:v>-0.245</c:v>
                </c:pt>
                <c:pt idx="3">
                  <c:v>-0.46689999999999998</c:v>
                </c:pt>
                <c:pt idx="4">
                  <c:v>-0.76629999999999998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F-4A5E-9A25-9B4CD093EC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3702544"/>
        <c:axId val="393702960"/>
      </c:barChart>
      <c:catAx>
        <c:axId val="393702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3702960"/>
        <c:crosses val="autoZero"/>
        <c:auto val="0"/>
        <c:lblAlgn val="ctr"/>
        <c:lblOffset val="100"/>
        <c:noMultiLvlLbl val="0"/>
      </c:catAx>
      <c:valAx>
        <c:axId val="39370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02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Bitcoin Monthly Average Price (2021 to 2025)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Prices'!$A$1:$A$62</c:f>
              <c:strCache>
                <c:ptCount val="62"/>
                <c:pt idx="0">
                  <c:v>Monthly Average Prices by Asset</c:v>
                </c:pt>
                <c:pt idx="1">
                  <c:v>month</c:v>
                </c:pt>
                <c:pt idx="2">
                  <c:v>2021-01</c:v>
                </c:pt>
                <c:pt idx="3">
                  <c:v>2021-02</c:v>
                </c:pt>
                <c:pt idx="4">
                  <c:v>2021-03</c:v>
                </c:pt>
                <c:pt idx="5">
                  <c:v>2021-04</c:v>
                </c:pt>
                <c:pt idx="6">
                  <c:v>2021-05</c:v>
                </c:pt>
                <c:pt idx="7">
                  <c:v>2021-06</c:v>
                </c:pt>
                <c:pt idx="8">
                  <c:v>2021-07</c:v>
                </c:pt>
                <c:pt idx="9">
                  <c:v>2021-08</c:v>
                </c:pt>
                <c:pt idx="10">
                  <c:v>2021-09</c:v>
                </c:pt>
                <c:pt idx="11">
                  <c:v>2021-10</c:v>
                </c:pt>
                <c:pt idx="12">
                  <c:v>2021-11</c:v>
                </c:pt>
                <c:pt idx="13">
                  <c:v>2021-12</c:v>
                </c:pt>
                <c:pt idx="14">
                  <c:v>2022-01</c:v>
                </c:pt>
                <c:pt idx="15">
                  <c:v>2022-02</c:v>
                </c:pt>
                <c:pt idx="16">
                  <c:v>2022-03</c:v>
                </c:pt>
                <c:pt idx="17">
                  <c:v>2022-04</c:v>
                </c:pt>
                <c:pt idx="18">
                  <c:v>2022-05</c:v>
                </c:pt>
                <c:pt idx="19">
                  <c:v>2022-06</c:v>
                </c:pt>
                <c:pt idx="20">
                  <c:v>2022-07</c:v>
                </c:pt>
                <c:pt idx="21">
                  <c:v>2022-08</c:v>
                </c:pt>
                <c:pt idx="22">
                  <c:v>2022-09</c:v>
                </c:pt>
                <c:pt idx="23">
                  <c:v>2022-10</c:v>
                </c:pt>
                <c:pt idx="24">
                  <c:v>2022-11</c:v>
                </c:pt>
                <c:pt idx="25">
                  <c:v>2022-12</c:v>
                </c:pt>
                <c:pt idx="26">
                  <c:v>2023-01</c:v>
                </c:pt>
                <c:pt idx="27">
                  <c:v>2023-02</c:v>
                </c:pt>
                <c:pt idx="28">
                  <c:v>2023-03</c:v>
                </c:pt>
                <c:pt idx="29">
                  <c:v>2023-04</c:v>
                </c:pt>
                <c:pt idx="30">
                  <c:v>2023-05</c:v>
                </c:pt>
                <c:pt idx="31">
                  <c:v>2023-06</c:v>
                </c:pt>
                <c:pt idx="32">
                  <c:v>2023-07</c:v>
                </c:pt>
                <c:pt idx="33">
                  <c:v>2023-08</c:v>
                </c:pt>
                <c:pt idx="34">
                  <c:v>2023-09</c:v>
                </c:pt>
                <c:pt idx="35">
                  <c:v>2023-10</c:v>
                </c:pt>
                <c:pt idx="36">
                  <c:v>2023-11</c:v>
                </c:pt>
                <c:pt idx="37">
                  <c:v>2023-12</c:v>
                </c:pt>
                <c:pt idx="38">
                  <c:v>2024-01</c:v>
                </c:pt>
                <c:pt idx="39">
                  <c:v>2024-02</c:v>
                </c:pt>
                <c:pt idx="40">
                  <c:v>2024-03</c:v>
                </c:pt>
                <c:pt idx="41">
                  <c:v>2024-04</c:v>
                </c:pt>
                <c:pt idx="42">
                  <c:v>2024-05</c:v>
                </c:pt>
                <c:pt idx="43">
                  <c:v>2024-06</c:v>
                </c:pt>
                <c:pt idx="44">
                  <c:v>2024-07</c:v>
                </c:pt>
                <c:pt idx="45">
                  <c:v>2024-08</c:v>
                </c:pt>
                <c:pt idx="46">
                  <c:v>2024-09</c:v>
                </c:pt>
                <c:pt idx="47">
                  <c:v>2024-10</c:v>
                </c:pt>
                <c:pt idx="48">
                  <c:v>2024-11</c:v>
                </c:pt>
                <c:pt idx="49">
                  <c:v>2024-12</c:v>
                </c:pt>
                <c:pt idx="50">
                  <c:v>2025-01</c:v>
                </c:pt>
                <c:pt idx="51">
                  <c:v>2025-02</c:v>
                </c:pt>
                <c:pt idx="52">
                  <c:v>2025-03</c:v>
                </c:pt>
                <c:pt idx="53">
                  <c:v>2025-04</c:v>
                </c:pt>
                <c:pt idx="54">
                  <c:v>2025-05</c:v>
                </c:pt>
                <c:pt idx="55">
                  <c:v>2025-06</c:v>
                </c:pt>
                <c:pt idx="56">
                  <c:v>2025-07</c:v>
                </c:pt>
                <c:pt idx="57">
                  <c:v>2025-08</c:v>
                </c:pt>
                <c:pt idx="58">
                  <c:v>2025-09</c:v>
                </c:pt>
                <c:pt idx="59">
                  <c:v>2025-10</c:v>
                </c:pt>
                <c:pt idx="60">
                  <c:v>2025-11</c:v>
                </c:pt>
                <c:pt idx="61">
                  <c:v>2025-12</c:v>
                </c:pt>
              </c:strCache>
            </c:strRef>
          </c:cat>
          <c:val>
            <c:numRef>
              <c:f>'Monthly Prices'!$F$1:$F$62</c:f>
              <c:numCache>
                <c:formatCode>General</c:formatCode>
                <c:ptCount val="62"/>
                <c:pt idx="1">
                  <c:v>0</c:v>
                </c:pt>
                <c:pt idx="2">
                  <c:v>34967.17</c:v>
                </c:pt>
                <c:pt idx="3">
                  <c:v>45773.02</c:v>
                </c:pt>
                <c:pt idx="4">
                  <c:v>54630.98</c:v>
                </c:pt>
                <c:pt idx="5">
                  <c:v>57357.22</c:v>
                </c:pt>
                <c:pt idx="6">
                  <c:v>46754.81</c:v>
                </c:pt>
                <c:pt idx="7">
                  <c:v>35960.9</c:v>
                </c:pt>
                <c:pt idx="8">
                  <c:v>34368.21</c:v>
                </c:pt>
                <c:pt idx="9">
                  <c:v>45388.53</c:v>
                </c:pt>
                <c:pt idx="10">
                  <c:v>45292.05</c:v>
                </c:pt>
                <c:pt idx="11">
                  <c:v>58173.42</c:v>
                </c:pt>
                <c:pt idx="12">
                  <c:v>60766.09</c:v>
                </c:pt>
                <c:pt idx="13">
                  <c:v>49250.53</c:v>
                </c:pt>
                <c:pt idx="14">
                  <c:v>40998.239999999998</c:v>
                </c:pt>
                <c:pt idx="15">
                  <c:v>41086.21</c:v>
                </c:pt>
                <c:pt idx="16">
                  <c:v>42244.32</c:v>
                </c:pt>
                <c:pt idx="17">
                  <c:v>41419.07</c:v>
                </c:pt>
                <c:pt idx="18">
                  <c:v>31605.21</c:v>
                </c:pt>
                <c:pt idx="19">
                  <c:v>24473.69</c:v>
                </c:pt>
                <c:pt idx="20">
                  <c:v>21622.81</c:v>
                </c:pt>
                <c:pt idx="21">
                  <c:v>22439.78</c:v>
                </c:pt>
                <c:pt idx="22">
                  <c:v>19703.63</c:v>
                </c:pt>
                <c:pt idx="23">
                  <c:v>19684.86</c:v>
                </c:pt>
                <c:pt idx="24">
                  <c:v>17626</c:v>
                </c:pt>
                <c:pt idx="25">
                  <c:v>16974.099999999999</c:v>
                </c:pt>
                <c:pt idx="26">
                  <c:v>20254.099999999999</c:v>
                </c:pt>
                <c:pt idx="27">
                  <c:v>23265.57</c:v>
                </c:pt>
                <c:pt idx="28">
                  <c:v>25241.09</c:v>
                </c:pt>
                <c:pt idx="29">
                  <c:v>28965.8</c:v>
                </c:pt>
                <c:pt idx="30">
                  <c:v>27491.86</c:v>
                </c:pt>
                <c:pt idx="31">
                  <c:v>27913.5</c:v>
                </c:pt>
                <c:pt idx="32">
                  <c:v>30014.79</c:v>
                </c:pt>
                <c:pt idx="33">
                  <c:v>27924.77</c:v>
                </c:pt>
                <c:pt idx="34">
                  <c:v>26344.94</c:v>
                </c:pt>
                <c:pt idx="35">
                  <c:v>29817.42</c:v>
                </c:pt>
                <c:pt idx="36">
                  <c:v>36524.910000000003</c:v>
                </c:pt>
                <c:pt idx="37">
                  <c:v>42679.88</c:v>
                </c:pt>
                <c:pt idx="38">
                  <c:v>43042.42</c:v>
                </c:pt>
                <c:pt idx="39">
                  <c:v>50293.5</c:v>
                </c:pt>
                <c:pt idx="40">
                  <c:v>68009.289999999994</c:v>
                </c:pt>
                <c:pt idx="41">
                  <c:v>66009.05</c:v>
                </c:pt>
                <c:pt idx="42">
                  <c:v>65122.43</c:v>
                </c:pt>
                <c:pt idx="43">
                  <c:v>65988.539999999994</c:v>
                </c:pt>
                <c:pt idx="44">
                  <c:v>62927.42</c:v>
                </c:pt>
                <c:pt idx="45">
                  <c:v>59711.34</c:v>
                </c:pt>
                <c:pt idx="46">
                  <c:v>60379.09</c:v>
                </c:pt>
                <c:pt idx="47">
                  <c:v>65636.240000000005</c:v>
                </c:pt>
                <c:pt idx="48">
                  <c:v>86677.04</c:v>
                </c:pt>
                <c:pt idx="49">
                  <c:v>98132.74</c:v>
                </c:pt>
                <c:pt idx="50">
                  <c:v>100617.84</c:v>
                </c:pt>
                <c:pt idx="51">
                  <c:v>94443.79</c:v>
                </c:pt>
                <c:pt idx="52">
                  <c:v>85170.37</c:v>
                </c:pt>
                <c:pt idx="53">
                  <c:v>86649.99</c:v>
                </c:pt>
                <c:pt idx="54">
                  <c:v>103496.54</c:v>
                </c:pt>
                <c:pt idx="55">
                  <c:v>106151.48</c:v>
                </c:pt>
                <c:pt idx="56">
                  <c:v>115526.12</c:v>
                </c:pt>
                <c:pt idx="57">
                  <c:v>115071.88</c:v>
                </c:pt>
                <c:pt idx="58">
                  <c:v>113350.37</c:v>
                </c:pt>
                <c:pt idx="59">
                  <c:v>114032.73</c:v>
                </c:pt>
                <c:pt idx="60">
                  <c:v>96144.08</c:v>
                </c:pt>
                <c:pt idx="61">
                  <c:v>89105.84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6-4772-B1DC-577AB7479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935680"/>
        <c:axId val="397934848"/>
      </c:lineChart>
      <c:catAx>
        <c:axId val="3979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34848"/>
        <c:crosses val="autoZero"/>
        <c:auto val="1"/>
        <c:lblAlgn val="ctr"/>
        <c:lblOffset val="100"/>
        <c:noMultiLvlLbl val="0"/>
      </c:catAx>
      <c:valAx>
        <c:axId val="3979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9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274369</xdr:colOff>
      <xdr:row>0</xdr:row>
      <xdr:rowOff>216191</xdr:rowOff>
    </xdr:from>
    <xdr:to>
      <xdr:col>34</xdr:col>
      <xdr:colOff>230604</xdr:colOff>
      <xdr:row>12</xdr:row>
      <xdr:rowOff>15704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1DC49-7E36-48B4-A0BA-B5E706886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240391</xdr:colOff>
      <xdr:row>12</xdr:row>
      <xdr:rowOff>13844</xdr:rowOff>
    </xdr:from>
    <xdr:to>
      <xdr:col>34</xdr:col>
      <xdr:colOff>230605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2C4D3E-7A73-492E-8096-AA0E5DDDB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241829</xdr:colOff>
      <xdr:row>11</xdr:row>
      <xdr:rowOff>218015</xdr:rowOff>
    </xdr:from>
    <xdr:to>
      <xdr:col>7</xdr:col>
      <xdr:colOff>17639</xdr:colOff>
      <xdr:row>26</xdr:row>
      <xdr:rowOff>210551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4DAE7E4-01E9-4CCA-90D7-2416523CB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"/>
  <sheetViews>
    <sheetView tabSelected="1" topLeftCell="A2" zoomScale="83" zoomScaleNormal="100" workbookViewId="0">
      <selection activeCell="AP9" sqref="AP9"/>
    </sheetView>
  </sheetViews>
  <sheetFormatPr defaultColWidth="3.7109375" defaultRowHeight="18" customHeight="1" x14ac:dyDescent="0.25"/>
  <cols>
    <col min="1" max="1" width="3.7109375" customWidth="1"/>
    <col min="2" max="8" width="14.7109375" customWidth="1"/>
  </cols>
  <sheetData>
    <row r="2" spans="2:8" ht="18" customHeight="1" x14ac:dyDescent="0.35">
      <c r="B2" s="8" t="s">
        <v>0</v>
      </c>
      <c r="C2" s="8"/>
      <c r="D2" s="8"/>
      <c r="E2" s="8"/>
      <c r="F2" s="8"/>
      <c r="G2" s="8"/>
      <c r="H2" s="5"/>
    </row>
    <row r="3" spans="2:8" ht="18" customHeight="1" x14ac:dyDescent="0.25">
      <c r="B3" s="6" t="s">
        <v>1</v>
      </c>
      <c r="C3" s="7"/>
      <c r="D3" s="7"/>
      <c r="E3" s="7"/>
      <c r="F3" s="7"/>
      <c r="G3" s="7"/>
      <c r="H3" s="7"/>
    </row>
    <row r="5" spans="2:8" ht="18" customHeight="1" x14ac:dyDescent="0.2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8" ht="18" customHeight="1" x14ac:dyDescent="0.25"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>
        <v>1</v>
      </c>
    </row>
    <row r="7" spans="2:8" ht="18" customHeight="1" x14ac:dyDescent="0.25"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>
        <v>2</v>
      </c>
    </row>
    <row r="8" spans="2:8" ht="18" customHeight="1" x14ac:dyDescent="0.25"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3</v>
      </c>
    </row>
    <row r="9" spans="2:8" ht="18" customHeight="1" x14ac:dyDescent="0.25"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>
        <v>4</v>
      </c>
    </row>
    <row r="10" spans="2:8" ht="18" customHeight="1" x14ac:dyDescent="0.25"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>
        <v>5</v>
      </c>
    </row>
  </sheetData>
  <mergeCells count="2">
    <mergeCell ref="B3:H3"/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selection activeCell="I15" sqref="I15"/>
    </sheetView>
  </sheetViews>
  <sheetFormatPr defaultRowHeight="15" x14ac:dyDescent="0.25"/>
  <cols>
    <col min="1" max="6" width="14" customWidth="1"/>
  </cols>
  <sheetData>
    <row r="1" spans="1:6" ht="17.25" x14ac:dyDescent="0.3">
      <c r="A1" s="9" t="s">
        <v>33</v>
      </c>
      <c r="B1" s="7"/>
      <c r="C1" s="7"/>
      <c r="D1" s="7"/>
      <c r="E1" s="7"/>
      <c r="F1" s="7"/>
    </row>
    <row r="2" spans="1:6" x14ac:dyDescent="0.25">
      <c r="A2" s="4" t="s">
        <v>34</v>
      </c>
      <c r="B2" s="4" t="s">
        <v>23</v>
      </c>
      <c r="C2" s="4" t="s">
        <v>8</v>
      </c>
      <c r="D2" s="4" t="s">
        <v>13</v>
      </c>
      <c r="E2" s="4" t="s">
        <v>28</v>
      </c>
      <c r="F2" s="4" t="s">
        <v>18</v>
      </c>
    </row>
    <row r="3" spans="1:6" x14ac:dyDescent="0.25">
      <c r="A3" t="s">
        <v>35</v>
      </c>
      <c r="B3">
        <v>6180.17</v>
      </c>
      <c r="C3">
        <v>175.02</v>
      </c>
      <c r="D3">
        <v>352.06</v>
      </c>
      <c r="E3">
        <v>2632.74</v>
      </c>
      <c r="F3">
        <v>34967.17</v>
      </c>
    </row>
    <row r="4" spans="1:6" x14ac:dyDescent="0.25">
      <c r="A4" t="s">
        <v>36</v>
      </c>
      <c r="B4">
        <v>6032.32</v>
      </c>
      <c r="C4">
        <v>169.34</v>
      </c>
      <c r="D4">
        <v>360.72</v>
      </c>
      <c r="E4">
        <v>2521.3000000000002</v>
      </c>
      <c r="F4">
        <v>45773.02</v>
      </c>
    </row>
    <row r="5" spans="1:6" x14ac:dyDescent="0.25">
      <c r="A5" t="s">
        <v>37</v>
      </c>
      <c r="B5">
        <v>5860.41</v>
      </c>
      <c r="C5">
        <v>161.25</v>
      </c>
      <c r="D5">
        <v>363.8</v>
      </c>
      <c r="E5">
        <v>2617.41</v>
      </c>
      <c r="F5">
        <v>54630.98</v>
      </c>
    </row>
    <row r="6" spans="1:6" x14ac:dyDescent="0.25">
      <c r="A6" t="s">
        <v>38</v>
      </c>
      <c r="B6">
        <v>5571.04</v>
      </c>
      <c r="C6">
        <v>164.94</v>
      </c>
      <c r="D6">
        <v>385.65</v>
      </c>
      <c r="E6">
        <v>2548.8200000000002</v>
      </c>
      <c r="F6">
        <v>57357.22</v>
      </c>
    </row>
    <row r="7" spans="1:6" x14ac:dyDescent="0.25">
      <c r="A7" t="s">
        <v>39</v>
      </c>
      <c r="B7">
        <v>5723.84</v>
      </c>
      <c r="C7">
        <v>173.34</v>
      </c>
      <c r="D7">
        <v>388.51</v>
      </c>
      <c r="E7">
        <v>2481.85</v>
      </c>
      <c r="F7">
        <v>46754.81</v>
      </c>
    </row>
    <row r="8" spans="1:6" x14ac:dyDescent="0.25">
      <c r="A8" t="s">
        <v>40</v>
      </c>
      <c r="B8">
        <v>5684.4</v>
      </c>
      <c r="C8">
        <v>171.56</v>
      </c>
      <c r="D8">
        <v>395.59</v>
      </c>
      <c r="E8">
        <v>2684.07</v>
      </c>
      <c r="F8">
        <v>35960.9</v>
      </c>
    </row>
    <row r="9" spans="1:6" x14ac:dyDescent="0.25">
      <c r="A9" t="s">
        <v>41</v>
      </c>
      <c r="B9">
        <v>5405.28</v>
      </c>
      <c r="C9">
        <v>169.06</v>
      </c>
      <c r="D9">
        <v>407.7</v>
      </c>
      <c r="E9">
        <v>2547.5500000000002</v>
      </c>
      <c r="F9">
        <v>34368.21</v>
      </c>
    </row>
    <row r="10" spans="1:6" x14ac:dyDescent="0.25">
      <c r="A10" t="s">
        <v>42</v>
      </c>
      <c r="B10">
        <v>5724.24</v>
      </c>
      <c r="C10">
        <v>167.11</v>
      </c>
      <c r="D10">
        <v>416.53</v>
      </c>
      <c r="E10">
        <v>2706</v>
      </c>
      <c r="F10">
        <v>45388.53</v>
      </c>
    </row>
    <row r="11" spans="1:6" x14ac:dyDescent="0.25">
      <c r="A11" t="s">
        <v>43</v>
      </c>
      <c r="B11">
        <v>5872.68</v>
      </c>
      <c r="C11">
        <v>166.04</v>
      </c>
      <c r="D11">
        <v>416.25</v>
      </c>
      <c r="E11">
        <v>2802.5</v>
      </c>
      <c r="F11">
        <v>45292.05</v>
      </c>
    </row>
    <row r="12" spans="1:6" x14ac:dyDescent="0.25">
      <c r="A12" t="s">
        <v>44</v>
      </c>
      <c r="B12">
        <v>6583.9</v>
      </c>
      <c r="C12">
        <v>166.13</v>
      </c>
      <c r="D12">
        <v>418.06</v>
      </c>
      <c r="E12">
        <v>3049.75</v>
      </c>
      <c r="F12">
        <v>58173.42</v>
      </c>
    </row>
    <row r="13" spans="1:6" x14ac:dyDescent="0.25">
      <c r="A13" t="s">
        <v>45</v>
      </c>
      <c r="B13">
        <v>6684.16</v>
      </c>
      <c r="C13">
        <v>170.08</v>
      </c>
      <c r="D13">
        <v>437.83</v>
      </c>
      <c r="E13">
        <v>3042.43</v>
      </c>
      <c r="F13">
        <v>60766.09</v>
      </c>
    </row>
    <row r="14" spans="1:6" x14ac:dyDescent="0.25">
      <c r="A14" t="s">
        <v>46</v>
      </c>
      <c r="B14">
        <v>6594.51</v>
      </c>
      <c r="C14">
        <v>167.45</v>
      </c>
      <c r="D14">
        <v>439.14</v>
      </c>
      <c r="E14">
        <v>3320.28</v>
      </c>
      <c r="F14">
        <v>49250.53</v>
      </c>
    </row>
    <row r="15" spans="1:6" x14ac:dyDescent="0.25">
      <c r="A15" t="s">
        <v>47</v>
      </c>
      <c r="B15">
        <v>6882.68</v>
      </c>
      <c r="C15">
        <v>169.61</v>
      </c>
      <c r="D15">
        <v>430.02</v>
      </c>
      <c r="E15">
        <v>3401.19</v>
      </c>
      <c r="F15">
        <v>40998.239999999998</v>
      </c>
    </row>
    <row r="16" spans="1:6" x14ac:dyDescent="0.25">
      <c r="A16" t="s">
        <v>48</v>
      </c>
      <c r="B16">
        <v>7053.65</v>
      </c>
      <c r="C16">
        <v>173.46</v>
      </c>
      <c r="D16">
        <v>417.47</v>
      </c>
      <c r="E16">
        <v>3494.21</v>
      </c>
      <c r="F16">
        <v>41086.21</v>
      </c>
    </row>
    <row r="17" spans="1:6" x14ac:dyDescent="0.25">
      <c r="A17" t="s">
        <v>49</v>
      </c>
      <c r="B17">
        <v>7139.18</v>
      </c>
      <c r="C17">
        <v>182.14</v>
      </c>
      <c r="D17">
        <v>413.9</v>
      </c>
      <c r="E17">
        <v>3649.91</v>
      </c>
      <c r="F17">
        <v>42244.32</v>
      </c>
    </row>
    <row r="18" spans="1:6" x14ac:dyDescent="0.25">
      <c r="A18" t="s">
        <v>50</v>
      </c>
      <c r="B18">
        <v>7172.66</v>
      </c>
      <c r="C18">
        <v>180.55</v>
      </c>
      <c r="D18">
        <v>414.3</v>
      </c>
      <c r="E18">
        <v>3741.27</v>
      </c>
      <c r="F18">
        <v>41419.07</v>
      </c>
    </row>
    <row r="19" spans="1:6" x14ac:dyDescent="0.25">
      <c r="A19" t="s">
        <v>51</v>
      </c>
      <c r="B19">
        <v>6939.57</v>
      </c>
      <c r="C19">
        <v>172.38</v>
      </c>
      <c r="D19">
        <v>381.67</v>
      </c>
      <c r="E19">
        <v>3503.8</v>
      </c>
      <c r="F19">
        <v>31605.21</v>
      </c>
    </row>
    <row r="20" spans="1:6" x14ac:dyDescent="0.25">
      <c r="A20" t="s">
        <v>52</v>
      </c>
      <c r="B20">
        <v>6797.48</v>
      </c>
      <c r="C20">
        <v>171.26</v>
      </c>
      <c r="D20">
        <v>368.92</v>
      </c>
      <c r="E20">
        <v>3430.42</v>
      </c>
      <c r="F20">
        <v>24473.69</v>
      </c>
    </row>
    <row r="21" spans="1:6" x14ac:dyDescent="0.25">
      <c r="A21" t="s">
        <v>53</v>
      </c>
      <c r="B21">
        <v>6580.44</v>
      </c>
      <c r="C21">
        <v>161.46</v>
      </c>
      <c r="D21">
        <v>370.62</v>
      </c>
      <c r="E21">
        <v>3460.2</v>
      </c>
      <c r="F21">
        <v>21622.81</v>
      </c>
    </row>
    <row r="22" spans="1:6" x14ac:dyDescent="0.25">
      <c r="A22" t="s">
        <v>54</v>
      </c>
      <c r="B22">
        <v>7217.52</v>
      </c>
      <c r="C22">
        <v>164.25</v>
      </c>
      <c r="D22">
        <v>394.52</v>
      </c>
      <c r="E22">
        <v>3811.48</v>
      </c>
      <c r="F22">
        <v>22439.78</v>
      </c>
    </row>
    <row r="23" spans="1:6" x14ac:dyDescent="0.25">
      <c r="A23" t="s">
        <v>55</v>
      </c>
      <c r="B23">
        <v>7672.79</v>
      </c>
      <c r="C23">
        <v>156.4</v>
      </c>
      <c r="D23">
        <v>365.92</v>
      </c>
      <c r="E23">
        <v>3763.7</v>
      </c>
      <c r="F23">
        <v>19703.63</v>
      </c>
    </row>
    <row r="24" spans="1:6" x14ac:dyDescent="0.25">
      <c r="A24" t="s">
        <v>56</v>
      </c>
      <c r="B24">
        <v>7718.35</v>
      </c>
      <c r="C24">
        <v>155.13999999999999</v>
      </c>
      <c r="D24">
        <v>354.57</v>
      </c>
      <c r="E24">
        <v>3659.5</v>
      </c>
      <c r="F24">
        <v>19684.86</v>
      </c>
    </row>
    <row r="25" spans="1:6" x14ac:dyDescent="0.25">
      <c r="A25" t="s">
        <v>57</v>
      </c>
      <c r="B25">
        <v>8057.84</v>
      </c>
      <c r="C25">
        <v>160.86000000000001</v>
      </c>
      <c r="D25">
        <v>373.23</v>
      </c>
      <c r="E25">
        <v>3441.94</v>
      </c>
      <c r="F25">
        <v>17626</v>
      </c>
    </row>
    <row r="26" spans="1:6" x14ac:dyDescent="0.25">
      <c r="A26" t="s">
        <v>58</v>
      </c>
      <c r="B26">
        <v>7897.22</v>
      </c>
      <c r="C26">
        <v>167.23</v>
      </c>
      <c r="D26">
        <v>373.32</v>
      </c>
      <c r="E26">
        <v>3147.72</v>
      </c>
      <c r="F26">
        <v>16974.099999999999</v>
      </c>
    </row>
    <row r="27" spans="1:6" x14ac:dyDescent="0.25">
      <c r="A27" t="s">
        <v>59</v>
      </c>
      <c r="B27">
        <v>7625.98</v>
      </c>
      <c r="C27">
        <v>176.93</v>
      </c>
      <c r="D27">
        <v>378.37</v>
      </c>
      <c r="E27">
        <v>3237.21</v>
      </c>
      <c r="F27">
        <v>20254.099999999999</v>
      </c>
    </row>
    <row r="28" spans="1:6" x14ac:dyDescent="0.25">
      <c r="A28" t="s">
        <v>60</v>
      </c>
      <c r="B28">
        <v>8000.87</v>
      </c>
      <c r="C28">
        <v>172.45</v>
      </c>
      <c r="D28">
        <v>390.24</v>
      </c>
      <c r="E28">
        <v>3229.33</v>
      </c>
      <c r="F28">
        <v>23265.57</v>
      </c>
    </row>
    <row r="29" spans="1:6" x14ac:dyDescent="0.25">
      <c r="A29" t="s">
        <v>61</v>
      </c>
      <c r="B29">
        <v>7834.35</v>
      </c>
      <c r="C29">
        <v>178.02</v>
      </c>
      <c r="D29">
        <v>380.34</v>
      </c>
      <c r="E29">
        <v>3366.44</v>
      </c>
      <c r="F29">
        <v>25241.09</v>
      </c>
    </row>
    <row r="30" spans="1:6" x14ac:dyDescent="0.25">
      <c r="A30" t="s">
        <v>62</v>
      </c>
      <c r="B30">
        <v>8380.5300000000007</v>
      </c>
      <c r="C30">
        <v>185.99</v>
      </c>
      <c r="D30">
        <v>395.43</v>
      </c>
      <c r="E30">
        <v>3573.49</v>
      </c>
      <c r="F30">
        <v>28965.8</v>
      </c>
    </row>
    <row r="31" spans="1:6" x14ac:dyDescent="0.25">
      <c r="A31" t="s">
        <v>63</v>
      </c>
      <c r="B31">
        <v>8361.5</v>
      </c>
      <c r="C31">
        <v>185.17</v>
      </c>
      <c r="D31">
        <v>398.28</v>
      </c>
      <c r="E31">
        <v>3423.81</v>
      </c>
      <c r="F31">
        <v>27491.86</v>
      </c>
    </row>
    <row r="32" spans="1:6" x14ac:dyDescent="0.25">
      <c r="A32" t="s">
        <v>64</v>
      </c>
      <c r="B32">
        <v>8494.2199999999993</v>
      </c>
      <c r="C32">
        <v>180.22</v>
      </c>
      <c r="D32">
        <v>418.08</v>
      </c>
      <c r="E32">
        <v>3472.81</v>
      </c>
      <c r="F32">
        <v>27913.5</v>
      </c>
    </row>
    <row r="33" spans="1:6" x14ac:dyDescent="0.25">
      <c r="A33" t="s">
        <v>65</v>
      </c>
      <c r="B33">
        <v>8520.1</v>
      </c>
      <c r="C33">
        <v>181.07</v>
      </c>
      <c r="D33">
        <v>434.12</v>
      </c>
      <c r="E33">
        <v>3398.34</v>
      </c>
      <c r="F33">
        <v>30014.79</v>
      </c>
    </row>
    <row r="34" spans="1:6" x14ac:dyDescent="0.25">
      <c r="A34" t="s">
        <v>66</v>
      </c>
      <c r="B34">
        <v>8638.85</v>
      </c>
      <c r="C34">
        <v>178.03</v>
      </c>
      <c r="D34">
        <v>429.74</v>
      </c>
      <c r="E34">
        <v>3279.45</v>
      </c>
      <c r="F34">
        <v>27924.77</v>
      </c>
    </row>
    <row r="35" spans="1:6" x14ac:dyDescent="0.25">
      <c r="A35" t="s">
        <v>67</v>
      </c>
      <c r="B35">
        <v>8454.7900000000009</v>
      </c>
      <c r="C35">
        <v>177.43</v>
      </c>
      <c r="D35">
        <v>425.73</v>
      </c>
      <c r="E35">
        <v>3268.61</v>
      </c>
      <c r="F35">
        <v>26344.94</v>
      </c>
    </row>
    <row r="36" spans="1:6" x14ac:dyDescent="0.25">
      <c r="A36" t="s">
        <v>68</v>
      </c>
      <c r="B36">
        <v>8343.48</v>
      </c>
      <c r="C36">
        <v>177.75</v>
      </c>
      <c r="D36">
        <v>412.58</v>
      </c>
      <c r="E36">
        <v>3228.78</v>
      </c>
      <c r="F36">
        <v>29817.42</v>
      </c>
    </row>
    <row r="37" spans="1:6" x14ac:dyDescent="0.25">
      <c r="A37" t="s">
        <v>69</v>
      </c>
      <c r="B37">
        <v>8319.85</v>
      </c>
      <c r="C37">
        <v>184.04</v>
      </c>
      <c r="D37">
        <v>431.58</v>
      </c>
      <c r="E37">
        <v>3147.49</v>
      </c>
      <c r="F37">
        <v>36524.910000000003</v>
      </c>
    </row>
    <row r="38" spans="1:6" x14ac:dyDescent="0.25">
      <c r="A38" t="s">
        <v>70</v>
      </c>
      <c r="B38">
        <v>8502.51</v>
      </c>
      <c r="C38">
        <v>188.54</v>
      </c>
      <c r="D38">
        <v>454.03</v>
      </c>
      <c r="E38">
        <v>3433.72</v>
      </c>
      <c r="F38">
        <v>42679.88</v>
      </c>
    </row>
    <row r="39" spans="1:6" x14ac:dyDescent="0.25">
      <c r="A39" t="s">
        <v>71</v>
      </c>
      <c r="B39">
        <v>8969.9699999999993</v>
      </c>
      <c r="C39">
        <v>188.07</v>
      </c>
      <c r="D39">
        <v>465.99</v>
      </c>
      <c r="E39">
        <v>3468.65</v>
      </c>
      <c r="F39">
        <v>43042.42</v>
      </c>
    </row>
    <row r="40" spans="1:6" x14ac:dyDescent="0.25">
      <c r="A40" t="s">
        <v>72</v>
      </c>
      <c r="B40">
        <v>9186.4599999999991</v>
      </c>
      <c r="C40">
        <v>187.63</v>
      </c>
      <c r="D40">
        <v>486.58</v>
      </c>
      <c r="E40">
        <v>3526.33</v>
      </c>
      <c r="F40">
        <v>50293.5</v>
      </c>
    </row>
    <row r="41" spans="1:6" x14ac:dyDescent="0.25">
      <c r="A41" t="s">
        <v>73</v>
      </c>
      <c r="B41">
        <v>9479.5400000000009</v>
      </c>
      <c r="C41">
        <v>200.26</v>
      </c>
      <c r="D41">
        <v>502.71</v>
      </c>
      <c r="E41">
        <v>3355.97</v>
      </c>
      <c r="F41">
        <v>68009.289999999994</v>
      </c>
    </row>
    <row r="42" spans="1:6" x14ac:dyDescent="0.25">
      <c r="A42" t="s">
        <v>74</v>
      </c>
      <c r="B42">
        <v>9322.9599999999991</v>
      </c>
      <c r="C42">
        <v>216.07</v>
      </c>
      <c r="D42">
        <v>497.47</v>
      </c>
      <c r="E42">
        <v>2872.19</v>
      </c>
      <c r="F42">
        <v>66009.05</v>
      </c>
    </row>
    <row r="43" spans="1:6" x14ac:dyDescent="0.25">
      <c r="A43" t="s">
        <v>75</v>
      </c>
      <c r="B43">
        <v>9091.93</v>
      </c>
      <c r="C43">
        <v>217.46</v>
      </c>
      <c r="D43">
        <v>510.01</v>
      </c>
      <c r="E43">
        <v>2709.93</v>
      </c>
      <c r="F43">
        <v>65122.43</v>
      </c>
    </row>
    <row r="44" spans="1:6" x14ac:dyDescent="0.25">
      <c r="A44" t="s">
        <v>76</v>
      </c>
      <c r="B44">
        <v>9042.31</v>
      </c>
      <c r="C44">
        <v>215.17</v>
      </c>
      <c r="D44">
        <v>528.20000000000005</v>
      </c>
      <c r="E44">
        <v>2721.93</v>
      </c>
      <c r="F44">
        <v>65988.539999999994</v>
      </c>
    </row>
    <row r="45" spans="1:6" x14ac:dyDescent="0.25">
      <c r="A45" t="s">
        <v>77</v>
      </c>
      <c r="B45">
        <v>9668.41</v>
      </c>
      <c r="C45">
        <v>221.54</v>
      </c>
      <c r="D45">
        <v>540.64</v>
      </c>
      <c r="E45">
        <v>2868.6</v>
      </c>
      <c r="F45">
        <v>62927.42</v>
      </c>
    </row>
    <row r="46" spans="1:6" x14ac:dyDescent="0.25">
      <c r="A46" t="s">
        <v>78</v>
      </c>
      <c r="B46">
        <v>9828.61</v>
      </c>
      <c r="C46">
        <v>228.4</v>
      </c>
      <c r="D46">
        <v>535.29</v>
      </c>
      <c r="E46">
        <v>2697.11</v>
      </c>
      <c r="F46">
        <v>59711.34</v>
      </c>
    </row>
    <row r="47" spans="1:6" x14ac:dyDescent="0.25">
      <c r="A47" t="s">
        <v>79</v>
      </c>
      <c r="B47">
        <v>10092.219999999999</v>
      </c>
      <c r="C47">
        <v>237.88</v>
      </c>
      <c r="D47">
        <v>549.98</v>
      </c>
      <c r="E47">
        <v>2865.32</v>
      </c>
      <c r="F47">
        <v>60379.09</v>
      </c>
    </row>
    <row r="48" spans="1:6" x14ac:dyDescent="0.25">
      <c r="A48" t="s">
        <v>80</v>
      </c>
      <c r="B48">
        <v>10091.34</v>
      </c>
      <c r="C48">
        <v>248.62</v>
      </c>
      <c r="D48">
        <v>567.22</v>
      </c>
      <c r="E48">
        <v>2733.81</v>
      </c>
      <c r="F48">
        <v>65636.240000000005</v>
      </c>
    </row>
    <row r="49" spans="1:6" x14ac:dyDescent="0.25">
      <c r="A49" t="s">
        <v>81</v>
      </c>
      <c r="B49">
        <v>9724.14</v>
      </c>
      <c r="C49">
        <v>244.77</v>
      </c>
      <c r="D49">
        <v>581.19000000000005</v>
      </c>
      <c r="E49">
        <v>2501.94</v>
      </c>
      <c r="F49">
        <v>86677.04</v>
      </c>
    </row>
    <row r="50" spans="1:6" x14ac:dyDescent="0.25">
      <c r="A50" t="s">
        <v>82</v>
      </c>
      <c r="B50">
        <v>9609.1</v>
      </c>
      <c r="C50">
        <v>243.51</v>
      </c>
      <c r="D50">
        <v>589.83000000000004</v>
      </c>
      <c r="E50">
        <v>2519.64</v>
      </c>
      <c r="F50">
        <v>98132.74</v>
      </c>
    </row>
    <row r="51" spans="1:6" x14ac:dyDescent="0.25">
      <c r="A51" t="s">
        <v>83</v>
      </c>
      <c r="B51">
        <v>9241.43</v>
      </c>
      <c r="C51">
        <v>250.43</v>
      </c>
      <c r="D51">
        <v>587.28</v>
      </c>
      <c r="E51">
        <v>2472.2800000000002</v>
      </c>
      <c r="F51">
        <v>100617.84</v>
      </c>
    </row>
    <row r="52" spans="1:6" x14ac:dyDescent="0.25">
      <c r="A52" t="s">
        <v>84</v>
      </c>
      <c r="B52">
        <v>8675.27</v>
      </c>
      <c r="C52">
        <v>267.12</v>
      </c>
      <c r="D52">
        <v>593.69000000000005</v>
      </c>
      <c r="E52">
        <v>2357.48</v>
      </c>
      <c r="F52">
        <v>94443.79</v>
      </c>
    </row>
    <row r="53" spans="1:6" x14ac:dyDescent="0.25">
      <c r="A53" t="s">
        <v>85</v>
      </c>
      <c r="B53">
        <v>8378.32</v>
      </c>
      <c r="C53">
        <v>275.39</v>
      </c>
      <c r="D53">
        <v>559.45000000000005</v>
      </c>
      <c r="E53">
        <v>2225.21</v>
      </c>
      <c r="F53">
        <v>85170.37</v>
      </c>
    </row>
    <row r="54" spans="1:6" x14ac:dyDescent="0.25">
      <c r="A54" t="s">
        <v>86</v>
      </c>
      <c r="B54">
        <v>8400.42</v>
      </c>
      <c r="C54">
        <v>296.95999999999998</v>
      </c>
      <c r="D54">
        <v>529.07000000000005</v>
      </c>
      <c r="E54">
        <v>2296.2800000000002</v>
      </c>
      <c r="F54">
        <v>86649.99</v>
      </c>
    </row>
    <row r="55" spans="1:6" x14ac:dyDescent="0.25">
      <c r="A55" t="s">
        <v>87</v>
      </c>
      <c r="B55">
        <v>9193.98</v>
      </c>
      <c r="C55">
        <v>302.89</v>
      </c>
      <c r="D55">
        <v>573.01</v>
      </c>
      <c r="E55">
        <v>2505.96</v>
      </c>
      <c r="F55">
        <v>103496.54</v>
      </c>
    </row>
    <row r="56" spans="1:6" x14ac:dyDescent="0.25">
      <c r="A56" t="s">
        <v>88</v>
      </c>
      <c r="B56">
        <v>8830.3799999999992</v>
      </c>
      <c r="C56">
        <v>308.88</v>
      </c>
      <c r="D56">
        <v>595.41999999999996</v>
      </c>
      <c r="E56">
        <v>2680.11</v>
      </c>
      <c r="F56">
        <v>106151.48</v>
      </c>
    </row>
    <row r="57" spans="1:6" x14ac:dyDescent="0.25">
      <c r="A57" t="s">
        <v>89</v>
      </c>
      <c r="B57">
        <v>8450.9500000000007</v>
      </c>
      <c r="C57">
        <v>307.73</v>
      </c>
      <c r="D57">
        <v>622.30999999999995</v>
      </c>
      <c r="E57">
        <v>2769.09</v>
      </c>
      <c r="F57">
        <v>115526.12</v>
      </c>
    </row>
    <row r="58" spans="1:6" x14ac:dyDescent="0.25">
      <c r="A58" t="s">
        <v>90</v>
      </c>
      <c r="B58">
        <v>8413.43</v>
      </c>
      <c r="C58">
        <v>310.23</v>
      </c>
      <c r="D58">
        <v>633.91999999999996</v>
      </c>
      <c r="E58">
        <v>3166.67</v>
      </c>
      <c r="F58">
        <v>115071.88</v>
      </c>
    </row>
    <row r="59" spans="1:6" x14ac:dyDescent="0.25">
      <c r="A59" t="s">
        <v>91</v>
      </c>
      <c r="B59">
        <v>7766.52</v>
      </c>
      <c r="C59">
        <v>338.59</v>
      </c>
      <c r="D59">
        <v>652.01</v>
      </c>
      <c r="E59">
        <v>3155.71</v>
      </c>
      <c r="F59">
        <v>113350.37</v>
      </c>
    </row>
    <row r="60" spans="1:6" x14ac:dyDescent="0.25">
      <c r="A60" t="s">
        <v>92</v>
      </c>
      <c r="B60">
        <v>7773.61</v>
      </c>
      <c r="C60">
        <v>373.23</v>
      </c>
      <c r="D60">
        <v>667.56</v>
      </c>
      <c r="E60">
        <v>3117.83</v>
      </c>
      <c r="F60">
        <v>114032.73</v>
      </c>
    </row>
    <row r="61" spans="1:6" x14ac:dyDescent="0.25">
      <c r="A61" t="s">
        <v>93</v>
      </c>
      <c r="B61">
        <v>8441.56</v>
      </c>
      <c r="C61">
        <v>375.6</v>
      </c>
      <c r="D61">
        <v>668.61</v>
      </c>
      <c r="E61">
        <v>3553.16</v>
      </c>
      <c r="F61">
        <v>96144.08</v>
      </c>
    </row>
    <row r="62" spans="1:6" x14ac:dyDescent="0.25">
      <c r="A62" t="s">
        <v>94</v>
      </c>
      <c r="B62">
        <v>8139.99</v>
      </c>
      <c r="C62">
        <v>396.41</v>
      </c>
      <c r="D62">
        <v>680.48</v>
      </c>
      <c r="E62">
        <v>3536.67</v>
      </c>
      <c r="F62">
        <v>89105.84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="110" workbookViewId="0">
      <selection activeCell="I3" sqref="I3"/>
    </sheetView>
  </sheetViews>
  <sheetFormatPr defaultRowHeight="15" x14ac:dyDescent="0.25"/>
  <cols>
    <col min="1" max="5" width="22" customWidth="1"/>
  </cols>
  <sheetData>
    <row r="1" spans="1:5" ht="17.25" x14ac:dyDescent="0.3">
      <c r="A1" s="9" t="s">
        <v>95</v>
      </c>
      <c r="B1" s="7"/>
      <c r="C1" s="7"/>
      <c r="D1" s="7"/>
      <c r="E1" s="7"/>
    </row>
    <row r="2" spans="1:5" x14ac:dyDescent="0.25">
      <c r="A2" s="4" t="s">
        <v>96</v>
      </c>
      <c r="B2" s="4" t="s">
        <v>97</v>
      </c>
      <c r="C2" s="4" t="s">
        <v>98</v>
      </c>
      <c r="D2" s="4" t="s">
        <v>5</v>
      </c>
      <c r="E2" s="4" t="s">
        <v>6</v>
      </c>
    </row>
    <row r="3" spans="1:5" x14ac:dyDescent="0.25">
      <c r="A3" t="s">
        <v>23</v>
      </c>
      <c r="B3">
        <v>8.43E-2</v>
      </c>
      <c r="C3">
        <v>0.2263</v>
      </c>
      <c r="D3">
        <v>0.1958</v>
      </c>
      <c r="E3">
        <v>-0.31409999999999999</v>
      </c>
    </row>
    <row r="4" spans="1:5" x14ac:dyDescent="0.25">
      <c r="A4" t="s">
        <v>8</v>
      </c>
      <c r="B4">
        <v>0.16969999999999999</v>
      </c>
      <c r="C4">
        <v>0.15620000000000001</v>
      </c>
      <c r="D4">
        <v>0.83040000000000003</v>
      </c>
      <c r="E4">
        <v>-0.21029999999999999</v>
      </c>
    </row>
    <row r="5" spans="1:5" x14ac:dyDescent="0.25">
      <c r="A5" t="s">
        <v>13</v>
      </c>
      <c r="B5">
        <v>0.15359999999999999</v>
      </c>
      <c r="C5">
        <v>0.1711</v>
      </c>
      <c r="D5">
        <v>0.66379999999999995</v>
      </c>
      <c r="E5">
        <v>-0.245</v>
      </c>
    </row>
    <row r="6" spans="1:5" x14ac:dyDescent="0.25">
      <c r="A6" t="s">
        <v>28</v>
      </c>
      <c r="B6">
        <v>9.1800000000000007E-2</v>
      </c>
      <c r="C6">
        <v>0.28289999999999998</v>
      </c>
      <c r="D6">
        <v>0.183</v>
      </c>
      <c r="E6">
        <v>-0.46689999999999998</v>
      </c>
    </row>
    <row r="7" spans="1:5" x14ac:dyDescent="0.25">
      <c r="A7" t="s">
        <v>18</v>
      </c>
      <c r="B7">
        <v>0.37730000000000002</v>
      </c>
      <c r="C7">
        <v>0.58740000000000003</v>
      </c>
      <c r="D7">
        <v>0.57420000000000004</v>
      </c>
      <c r="E7">
        <v>-0.76629999999999998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Monthly Prices</vt:lpstr>
      <vt:lpstr>Risk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Rifki Ali Nurjamil</cp:lastModifiedBy>
  <dcterms:created xsi:type="dcterms:W3CDTF">2026-03-27T06:20:27Z</dcterms:created>
  <dcterms:modified xsi:type="dcterms:W3CDTF">2026-03-31T03:44:49Z</dcterms:modified>
</cp:coreProperties>
</file>